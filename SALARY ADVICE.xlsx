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E584BE59-DB0B-4779-A746-CA7883D99B07}" xr6:coauthVersionLast="47" xr6:coauthVersionMax="47" xr10:uidLastSave="{00000000-0000-0000-0000-000000000000}"/>
  <bookViews>
    <workbookView xWindow="-105" yWindow="0" windowWidth="14610" windowHeight="15585" xr2:uid="{09F83BB1-CD83-40B5-B479-46C7569057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1" i="1" l="1"/>
  <c r="J19" i="1"/>
  <c r="J15" i="1"/>
  <c r="J11" i="1"/>
  <c r="E19" i="1"/>
  <c r="E11" i="1"/>
</calcChain>
</file>

<file path=xl/sharedStrings.xml><?xml version="1.0" encoding="utf-8"?>
<sst xmlns="http://schemas.openxmlformats.org/spreadsheetml/2006/main" count="23" uniqueCount="22">
  <si>
    <t>SALARY ADVICE FOR MARCH 2016</t>
  </si>
  <si>
    <t>EMPLOYEE</t>
  </si>
  <si>
    <t>DATE</t>
  </si>
  <si>
    <t>BASIC SALARY p.a.</t>
  </si>
  <si>
    <t>T MARONGO</t>
  </si>
  <si>
    <t>INCOME</t>
  </si>
  <si>
    <t>Basic Salary</t>
  </si>
  <si>
    <t>Housing Subsidy</t>
  </si>
  <si>
    <t>Vehicle Allowance</t>
  </si>
  <si>
    <t>Medical Aid</t>
  </si>
  <si>
    <t>Gross Income</t>
  </si>
  <si>
    <t>AMOUNT</t>
  </si>
  <si>
    <t>DEDUCTIONS</t>
  </si>
  <si>
    <t>Pension @8%</t>
  </si>
  <si>
    <t>P.A.Y.E.</t>
  </si>
  <si>
    <t>Bond Repayment</t>
  </si>
  <si>
    <t>U.I.F</t>
  </si>
  <si>
    <t>Total Deductions</t>
  </si>
  <si>
    <t>Net Salary</t>
  </si>
  <si>
    <t>STAFF NO</t>
  </si>
  <si>
    <t>NEXT PAY DATE</t>
  </si>
  <si>
    <t>30 A.P.R.I.L.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</si>
</sst>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00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5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0" fillId="0" borderId="2" xfId="0" applyBorder="1"/>
    <xf numFmtId="15" fontId="0" fillId="0" borderId="2" xfId="0" applyNumberFormat="1" applyBorder="1"/>
    <xf numFmtId="0" fontId="0" fillId="0" borderId="2" xfId="0" applyBorder="1" applyAlignment="1">
      <alignment horizontal="center"/>
    </xf>
    <xf numFmtId="0" fontId="0" fillId="0" borderId="0" xfId="0" applyBorder="1"/>
    <xf numFmtId="0" fontId="2" fillId="0" borderId="2" xfId="0" applyFont="1" applyBorder="1"/>
    <xf numFmtId="168" fontId="0" fillId="0" borderId="2" xfId="0" applyNumberFormat="1" applyBorder="1"/>
    <xf numFmtId="0" fontId="3" fillId="0" borderId="0" xfId="1" applyFont="1" applyBorder="1" applyAlignment="1">
      <alignment horizontal="center" vertical="top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36CE-08E8-4253-BA2A-F0F1CB37FFE7}">
  <dimension ref="B1:L22"/>
  <sheetViews>
    <sheetView tabSelected="1" zoomScaleNormal="100" workbookViewId="0">
      <selection activeCell="M18" sqref="M18"/>
    </sheetView>
  </sheetViews>
  <sheetFormatPr defaultRowHeight="15" x14ac:dyDescent="0.25"/>
  <cols>
    <col min="1" max="1" width="11.28515625" customWidth="1"/>
    <col min="2" max="3" width="9.140625" customWidth="1"/>
    <col min="4" max="4" width="9.85546875" customWidth="1"/>
    <col min="5" max="5" width="9.5703125" bestFit="1" customWidth="1"/>
    <col min="8" max="8" width="13.42578125" customWidth="1"/>
    <col min="10" max="10" width="9.5703125" bestFit="1" customWidth="1"/>
  </cols>
  <sheetData>
    <row r="1" spans="2:12" ht="19.5" x14ac:dyDescent="0.25">
      <c r="E1" s="8" t="s">
        <v>0</v>
      </c>
      <c r="F1" s="8"/>
      <c r="G1" s="8"/>
      <c r="H1" s="8"/>
      <c r="I1" s="1"/>
    </row>
    <row r="3" spans="2:12" x14ac:dyDescent="0.25">
      <c r="B3" s="6" t="s">
        <v>1</v>
      </c>
      <c r="C3" s="2"/>
      <c r="D3" s="2" t="s">
        <v>4</v>
      </c>
      <c r="E3" s="2"/>
      <c r="F3" s="2"/>
      <c r="G3" s="6" t="s">
        <v>19</v>
      </c>
      <c r="H3" s="2"/>
      <c r="I3" s="2">
        <v>4</v>
      </c>
      <c r="J3" s="2"/>
    </row>
    <row r="4" spans="2:12" x14ac:dyDescent="0.25">
      <c r="B4" s="2"/>
      <c r="C4" s="2"/>
      <c r="D4" s="2"/>
      <c r="E4" s="2"/>
      <c r="F4" s="2"/>
      <c r="G4" s="2"/>
      <c r="H4" s="2"/>
      <c r="I4" s="2"/>
      <c r="J4" s="2"/>
    </row>
    <row r="5" spans="2:12" x14ac:dyDescent="0.25">
      <c r="B5" s="6" t="s">
        <v>2</v>
      </c>
      <c r="C5" s="3"/>
      <c r="D5" s="3">
        <v>42460</v>
      </c>
      <c r="E5" s="2"/>
      <c r="F5" s="2"/>
      <c r="G5" s="6" t="s">
        <v>20</v>
      </c>
      <c r="H5" s="2"/>
      <c r="I5" s="2" t="s">
        <v>21</v>
      </c>
      <c r="J5" s="2"/>
    </row>
    <row r="6" spans="2:12" x14ac:dyDescent="0.25">
      <c r="B6" s="2"/>
      <c r="C6" s="2"/>
      <c r="D6" s="2"/>
      <c r="E6" s="2"/>
      <c r="F6" s="2"/>
      <c r="G6" s="2"/>
      <c r="H6" s="2"/>
      <c r="I6" s="2"/>
      <c r="J6" s="2"/>
    </row>
    <row r="7" spans="2:12" x14ac:dyDescent="0.25">
      <c r="B7" s="6" t="s">
        <v>3</v>
      </c>
      <c r="C7" s="2"/>
      <c r="D7" s="2">
        <v>31200</v>
      </c>
      <c r="E7" s="2"/>
      <c r="F7" s="2"/>
      <c r="G7" s="2"/>
      <c r="H7" s="2"/>
      <c r="I7" s="2"/>
      <c r="J7" s="2"/>
    </row>
    <row r="8" spans="2:12" x14ac:dyDescent="0.25">
      <c r="B8" s="2"/>
      <c r="C8" s="2"/>
      <c r="D8" s="2"/>
      <c r="E8" s="2"/>
      <c r="F8" s="2"/>
      <c r="G8" s="2"/>
      <c r="H8" s="2"/>
      <c r="I8" s="2"/>
      <c r="J8" s="2"/>
    </row>
    <row r="9" spans="2:12" x14ac:dyDescent="0.25">
      <c r="B9" s="6" t="s">
        <v>5</v>
      </c>
      <c r="C9" s="6"/>
      <c r="D9" s="6"/>
      <c r="E9" s="6" t="s">
        <v>11</v>
      </c>
      <c r="F9" s="6"/>
      <c r="G9" s="6" t="s">
        <v>12</v>
      </c>
      <c r="H9" s="6"/>
      <c r="I9" s="6"/>
      <c r="J9" s="6" t="s">
        <v>11</v>
      </c>
    </row>
    <row r="10" spans="2:12" x14ac:dyDescent="0.25">
      <c r="B10" s="2"/>
      <c r="C10" s="2"/>
      <c r="D10" s="2"/>
      <c r="E10" s="2"/>
      <c r="F10" s="2"/>
      <c r="G10" s="2"/>
      <c r="H10" s="2"/>
      <c r="I10" s="2"/>
      <c r="J10" s="2"/>
    </row>
    <row r="11" spans="2:12" x14ac:dyDescent="0.25">
      <c r="B11" s="2" t="s">
        <v>6</v>
      </c>
      <c r="C11" s="2"/>
      <c r="D11" s="2"/>
      <c r="E11" s="7">
        <f>D7/12</f>
        <v>2600</v>
      </c>
      <c r="F11" s="2"/>
      <c r="G11" s="2" t="s">
        <v>13</v>
      </c>
      <c r="H11" s="2"/>
      <c r="I11" s="2"/>
      <c r="J11" s="7">
        <f>E11*0.08</f>
        <v>208</v>
      </c>
      <c r="L11" s="5"/>
    </row>
    <row r="12" spans="2:12" x14ac:dyDescent="0.25">
      <c r="B12" s="2"/>
      <c r="C12" s="2"/>
      <c r="D12" s="2"/>
      <c r="E12" s="7"/>
      <c r="F12" s="2"/>
      <c r="G12" s="2"/>
      <c r="H12" s="2"/>
      <c r="I12" s="2"/>
      <c r="J12" s="7"/>
    </row>
    <row r="13" spans="2:12" x14ac:dyDescent="0.25">
      <c r="B13" s="2" t="s">
        <v>7</v>
      </c>
      <c r="C13" s="2"/>
      <c r="D13" s="2"/>
      <c r="E13" s="7">
        <v>500</v>
      </c>
      <c r="F13" s="2"/>
      <c r="G13" s="2" t="s">
        <v>14</v>
      </c>
      <c r="H13" s="2"/>
      <c r="I13" s="2"/>
      <c r="J13" s="7">
        <v>636.83000000000004</v>
      </c>
    </row>
    <row r="14" spans="2:12" x14ac:dyDescent="0.25">
      <c r="B14" s="2"/>
      <c r="C14" s="2"/>
      <c r="D14" s="2"/>
      <c r="E14" s="7"/>
      <c r="F14" s="2"/>
      <c r="G14" s="2"/>
      <c r="H14" s="2"/>
      <c r="I14" s="2"/>
      <c r="J14" s="7"/>
    </row>
    <row r="15" spans="2:12" x14ac:dyDescent="0.25">
      <c r="B15" s="2" t="s">
        <v>8</v>
      </c>
      <c r="C15" s="2"/>
      <c r="D15" s="2"/>
      <c r="E15" s="7">
        <v>100</v>
      </c>
      <c r="F15" s="2"/>
      <c r="G15" s="2" t="s">
        <v>16</v>
      </c>
      <c r="H15" s="2"/>
      <c r="I15" s="2"/>
      <c r="J15" s="7">
        <f>(E11+E13)*0.01</f>
        <v>31</v>
      </c>
    </row>
    <row r="16" spans="2:12" x14ac:dyDescent="0.25">
      <c r="B16" s="2"/>
      <c r="C16" s="2"/>
      <c r="D16" s="2"/>
      <c r="E16" s="7"/>
      <c r="F16" s="2"/>
      <c r="G16" s="2"/>
      <c r="H16" s="2"/>
      <c r="I16" s="2"/>
      <c r="J16" s="7"/>
    </row>
    <row r="17" spans="2:10" x14ac:dyDescent="0.25">
      <c r="B17" s="2" t="s">
        <v>9</v>
      </c>
      <c r="C17" s="2"/>
      <c r="D17" s="2"/>
      <c r="E17" s="7">
        <v>70</v>
      </c>
      <c r="F17" s="2"/>
      <c r="G17" s="2" t="s">
        <v>15</v>
      </c>
      <c r="H17" s="2"/>
      <c r="I17" s="2"/>
      <c r="J17" s="7">
        <v>630</v>
      </c>
    </row>
    <row r="18" spans="2:10" x14ac:dyDescent="0.25">
      <c r="B18" s="2"/>
      <c r="C18" s="2"/>
      <c r="D18" s="2"/>
      <c r="E18" s="7"/>
      <c r="F18" s="2"/>
      <c r="G18" s="2"/>
      <c r="H18" s="2"/>
      <c r="I18" s="2"/>
      <c r="J18" s="7"/>
    </row>
    <row r="19" spans="2:10" x14ac:dyDescent="0.25">
      <c r="B19" s="6" t="s">
        <v>10</v>
      </c>
      <c r="C19" s="6"/>
      <c r="D19" s="2"/>
      <c r="E19" s="7">
        <f>SUM(E11:E17)</f>
        <v>3270</v>
      </c>
      <c r="F19" s="2"/>
      <c r="G19" s="6" t="s">
        <v>17</v>
      </c>
      <c r="H19" s="6"/>
      <c r="I19" s="2"/>
      <c r="J19" s="7">
        <f>SUM(J11:J17)</f>
        <v>1505.83</v>
      </c>
    </row>
    <row r="20" spans="2:10" x14ac:dyDescent="0.25">
      <c r="B20" s="2"/>
      <c r="C20" s="2"/>
      <c r="D20" s="2"/>
      <c r="E20" s="2"/>
      <c r="F20" s="2"/>
      <c r="G20" s="4"/>
      <c r="H20" s="2"/>
      <c r="I20" s="2"/>
      <c r="J20" s="2"/>
    </row>
    <row r="21" spans="2:10" x14ac:dyDescent="0.25">
      <c r="B21" s="2"/>
      <c r="C21" s="2"/>
      <c r="D21" s="2"/>
      <c r="E21" s="2"/>
      <c r="F21" s="2"/>
      <c r="G21" s="2"/>
      <c r="H21" s="6" t="s">
        <v>18</v>
      </c>
      <c r="I21" s="2"/>
      <c r="J21" s="2">
        <f>E19-J19</f>
        <v>1764.17</v>
      </c>
    </row>
    <row r="22" spans="2:10" x14ac:dyDescent="0.25">
      <c r="B22" s="2"/>
      <c r="C22" s="2"/>
      <c r="D22" s="2"/>
      <c r="E22" s="2"/>
      <c r="F22" s="2"/>
      <c r="G22" s="2"/>
      <c r="H22" s="2"/>
      <c r="I22" s="2"/>
      <c r="J22" s="2"/>
    </row>
  </sheetData>
  <mergeCells count="1">
    <mergeCell ref="E1:H1"/>
  </mergeCells>
  <pageMargins left="0.25" right="0.25" top="0.75" bottom="0.75" header="0.3" footer="0.3"/>
  <pageSetup orientation="portrait" r:id="rId1"/>
  <headerFooter>
    <oddHeader>&amp;C&amp;"-,Bold"SALARY ADVICE FOR MARCH 2016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bcsl013@outlook.com</dc:creator>
  <cp:lastModifiedBy>bcsl013@outlook.com</cp:lastModifiedBy>
  <dcterms:created xsi:type="dcterms:W3CDTF">2026-08-12T06:38:18Z</dcterms:created>
  <dcterms:modified xsi:type="dcterms:W3CDTF">2026-08-12T07:36:43Z</dcterms:modified>
</cp:coreProperties>
</file>