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ED6D419E-D495-49AD-82BA-CD1F9BABA8DD}" xr6:coauthVersionLast="47" xr6:coauthVersionMax="47" xr10:uidLastSave="{00000000-0000-0000-0000-000000000000}"/>
  <bookViews>
    <workbookView xWindow="-105" yWindow="0" windowWidth="14610" windowHeight="15585" xr2:uid="{CF21503B-E706-41E6-A2DC-592E4D8A9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F12" i="1"/>
  <c r="G12" i="1"/>
  <c r="D12" i="1"/>
  <c r="E11" i="1"/>
  <c r="F11" i="1"/>
  <c r="G11" i="1"/>
  <c r="D11" i="1"/>
  <c r="E10" i="1"/>
  <c r="F10" i="1"/>
  <c r="G10" i="1"/>
  <c r="D10" i="1"/>
  <c r="G9" i="1"/>
  <c r="F9" i="1"/>
  <c r="E9" i="1"/>
  <c r="D9" i="1"/>
  <c r="G5" i="1"/>
  <c r="G6" i="1"/>
  <c r="G7" i="1"/>
  <c r="G8" i="1"/>
  <c r="G4" i="1"/>
  <c r="C5" i="1"/>
  <c r="D5" i="1" s="1"/>
  <c r="F5" i="1" s="1"/>
  <c r="C6" i="1"/>
  <c r="D6" i="1" s="1"/>
  <c r="F6" i="1" s="1"/>
  <c r="C7" i="1"/>
  <c r="C8" i="1"/>
  <c r="C4" i="1"/>
  <c r="D4" i="1" s="1"/>
  <c r="F4" i="1" s="1"/>
  <c r="D7" i="1"/>
  <c r="F7" i="1" s="1"/>
  <c r="D8" i="1"/>
  <c r="F8" i="1" s="1"/>
</calcChain>
</file>

<file path=xl/sharedStrings.xml><?xml version="1.0" encoding="utf-8"?>
<sst xmlns="http://schemas.openxmlformats.org/spreadsheetml/2006/main" count="22" uniqueCount="22">
  <si>
    <t xml:space="preserve">                                                                                                                         </t>
  </si>
  <si>
    <t>LYONS INC – Orange JUICE Sales</t>
  </si>
  <si>
    <t>PRODUCT</t>
  </si>
  <si>
    <t>Cascade</t>
  </si>
  <si>
    <t>Quench</t>
  </si>
  <si>
    <t>Xtra</t>
  </si>
  <si>
    <t>Sun Splash</t>
  </si>
  <si>
    <t>House Brand</t>
  </si>
  <si>
    <t>TOTAL</t>
  </si>
  <si>
    <t>HIGHEST</t>
  </si>
  <si>
    <t>LOWEST</t>
  </si>
  <si>
    <t>COST PRICE PER LITRE</t>
  </si>
  <si>
    <t>MARK UP PER ITEM 35%</t>
  </si>
  <si>
    <t>SELLING PRICE</t>
  </si>
  <si>
    <t>LITRES SOLD</t>
  </si>
  <si>
    <t>TOTAL INCOME</t>
  </si>
  <si>
    <t>PROFIT</t>
  </si>
  <si>
    <t xml:space="preserve">                                        </t>
  </si>
  <si>
    <t xml:space="preserve">                       </t>
  </si>
  <si>
    <t xml:space="preserve">   </t>
  </si>
  <si>
    <t>AVERAGE</t>
  </si>
  <si>
    <t>Markup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</si>
</sst>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2" fontId="0" fillId="0" borderId="0" xfId="0" applyNumberFormat="1" applyBorder="1"/>
    <xf numFmtId="0" fontId="3" fillId="0" borderId="2" xfId="0" applyFont="1" applyBorder="1"/>
    <xf numFmtId="9" fontId="0" fillId="0" borderId="3" xfId="0" applyNumberFormat="1" applyBorder="1"/>
    <xf numFmtId="0" fontId="3" fillId="0" borderId="6" xfId="0" applyFont="1" applyBorder="1"/>
    <xf numFmtId="0" fontId="0" fillId="0" borderId="6" xfId="0" applyBorder="1"/>
    <xf numFmtId="0" fontId="3" fillId="0" borderId="6" xfId="0" applyFont="1" applyFill="1" applyBorder="1"/>
    <xf numFmtId="2" fontId="0" fillId="0" borderId="6" xfId="0" applyNumberFormat="1" applyBorder="1"/>
    <xf numFmtId="1" fontId="0" fillId="0" borderId="0" xfId="0" applyNumberFormat="1" applyBorder="1"/>
    <xf numFmtId="2" fontId="0" fillId="0" borderId="5" xfId="0" applyNumberFormat="1" applyBorder="1"/>
    <xf numFmtId="1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54DC-BB61-4D7D-9CFB-BACD54F123D3}">
  <dimension ref="A1:G27"/>
  <sheetViews>
    <sheetView tabSelected="1" workbookViewId="0">
      <selection activeCell="F22" sqref="F22"/>
    </sheetView>
  </sheetViews>
  <sheetFormatPr defaultRowHeight="15" x14ac:dyDescent="0.25"/>
  <cols>
    <col min="1" max="1" width="14.42578125" customWidth="1"/>
    <col min="2" max="2" width="23.5703125" customWidth="1"/>
    <col min="3" max="3" width="24.7109375" customWidth="1"/>
    <col min="4" max="4" width="17.140625" customWidth="1"/>
    <col min="5" max="5" width="15.42578125" customWidth="1"/>
    <col min="6" max="6" width="16.140625" customWidth="1"/>
  </cols>
  <sheetData>
    <row r="1" spans="1:7" ht="24" x14ac:dyDescent="0.4">
      <c r="A1" t="s">
        <v>0</v>
      </c>
      <c r="D1" s="1" t="s">
        <v>1</v>
      </c>
      <c r="E1" s="1"/>
      <c r="F1" s="1"/>
    </row>
    <row r="3" spans="1:7" ht="15.75" x14ac:dyDescent="0.25">
      <c r="A3" s="3" t="s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4" t="s">
        <v>16</v>
      </c>
    </row>
    <row r="4" spans="1:7" x14ac:dyDescent="0.25">
      <c r="A4" s="5" t="s">
        <v>3</v>
      </c>
      <c r="B4" s="6">
        <v>3.75</v>
      </c>
      <c r="C4" s="6">
        <f>B4*$B$14</f>
        <v>1.3125</v>
      </c>
      <c r="D4" s="6">
        <f>B4+C4</f>
        <v>5.0625</v>
      </c>
      <c r="E4" s="13">
        <v>234</v>
      </c>
      <c r="F4" s="6">
        <f>D4*E4</f>
        <v>1184.625</v>
      </c>
      <c r="G4" s="14">
        <f>F4-(B4*E4)</f>
        <v>307.125</v>
      </c>
    </row>
    <row r="5" spans="1:7" x14ac:dyDescent="0.25">
      <c r="A5" s="5" t="s">
        <v>4</v>
      </c>
      <c r="B5" s="6">
        <v>3.65</v>
      </c>
      <c r="C5" s="6">
        <f t="shared" ref="C5:C8" si="0">B5*$B$14</f>
        <v>1.2774999999999999</v>
      </c>
      <c r="D5" s="6">
        <f t="shared" ref="D5:D8" si="1">B5+C5</f>
        <v>4.9275000000000002</v>
      </c>
      <c r="E5" s="13">
        <v>345</v>
      </c>
      <c r="F5" s="6">
        <f t="shared" ref="F5:F8" si="2">D5*E5</f>
        <v>1699.9875000000002</v>
      </c>
      <c r="G5" s="14">
        <f t="shared" ref="G5:G8" si="3">F5-(B5*E5)</f>
        <v>440.73750000000018</v>
      </c>
    </row>
    <row r="6" spans="1:7" x14ac:dyDescent="0.25">
      <c r="A6" s="5" t="s">
        <v>5</v>
      </c>
      <c r="B6" s="6">
        <v>4.25</v>
      </c>
      <c r="C6" s="6">
        <f t="shared" si="0"/>
        <v>1.4874999999999998</v>
      </c>
      <c r="D6" s="6">
        <f t="shared" si="1"/>
        <v>5.7374999999999998</v>
      </c>
      <c r="E6" s="13">
        <v>456</v>
      </c>
      <c r="F6" s="6">
        <f t="shared" si="2"/>
        <v>2616.2999999999997</v>
      </c>
      <c r="G6" s="14">
        <f t="shared" si="3"/>
        <v>678.29999999999973</v>
      </c>
    </row>
    <row r="7" spans="1:7" x14ac:dyDescent="0.25">
      <c r="A7" s="5" t="s">
        <v>6</v>
      </c>
      <c r="B7" s="6">
        <v>1.5</v>
      </c>
      <c r="C7" s="6">
        <f t="shared" si="0"/>
        <v>0.52499999999999991</v>
      </c>
      <c r="D7" s="6">
        <f t="shared" si="1"/>
        <v>2.0249999999999999</v>
      </c>
      <c r="E7" s="13">
        <v>123</v>
      </c>
      <c r="F7" s="6">
        <f t="shared" si="2"/>
        <v>249.07499999999999</v>
      </c>
      <c r="G7" s="14">
        <f t="shared" si="3"/>
        <v>64.574999999999989</v>
      </c>
    </row>
    <row r="8" spans="1:7" x14ac:dyDescent="0.25">
      <c r="A8" s="5" t="s">
        <v>7</v>
      </c>
      <c r="B8" s="6">
        <v>1.5</v>
      </c>
      <c r="C8" s="6">
        <f t="shared" si="0"/>
        <v>0.52499999999999991</v>
      </c>
      <c r="D8" s="6">
        <f t="shared" si="1"/>
        <v>2.0249999999999999</v>
      </c>
      <c r="E8" s="13">
        <v>245</v>
      </c>
      <c r="F8" s="6">
        <f t="shared" si="2"/>
        <v>496.125</v>
      </c>
      <c r="G8" s="14">
        <f t="shared" si="3"/>
        <v>128.625</v>
      </c>
    </row>
    <row r="9" spans="1:7" x14ac:dyDescent="0.25">
      <c r="A9" s="9" t="s">
        <v>8</v>
      </c>
      <c r="B9" s="10"/>
      <c r="C9" s="10"/>
      <c r="D9" s="12">
        <f>SUM(D4:D8)</f>
        <v>19.777499999999996</v>
      </c>
      <c r="E9" s="15">
        <f>SUM(E4:E8)</f>
        <v>1403</v>
      </c>
      <c r="F9" s="12">
        <f>SUM(F4:F8)</f>
        <v>6246.1125000000002</v>
      </c>
      <c r="G9" s="12">
        <f>SUM(G4:G8)</f>
        <v>1619.3625</v>
      </c>
    </row>
    <row r="10" spans="1:7" x14ac:dyDescent="0.25">
      <c r="A10" s="9" t="s">
        <v>9</v>
      </c>
      <c r="B10" s="10"/>
      <c r="C10" s="10"/>
      <c r="D10" s="12">
        <f>MAX(D4:D8)</f>
        <v>5.7374999999999998</v>
      </c>
      <c r="E10" s="15">
        <f t="shared" ref="E10:G10" si="4">MAX(E4:E8)</f>
        <v>456</v>
      </c>
      <c r="F10" s="12">
        <f t="shared" si="4"/>
        <v>2616.2999999999997</v>
      </c>
      <c r="G10" s="12">
        <f t="shared" si="4"/>
        <v>678.29999999999973</v>
      </c>
    </row>
    <row r="11" spans="1:7" x14ac:dyDescent="0.25">
      <c r="A11" s="9" t="s">
        <v>10</v>
      </c>
      <c r="B11" s="10"/>
      <c r="C11" s="10"/>
      <c r="D11" s="12">
        <f>MIN(D4:D8)</f>
        <v>2.0249999999999999</v>
      </c>
      <c r="E11" s="15">
        <f t="shared" ref="E11:G11" si="5">MIN(E4:E8)</f>
        <v>123</v>
      </c>
      <c r="F11" s="12">
        <f t="shared" si="5"/>
        <v>249.07499999999999</v>
      </c>
      <c r="G11" s="12">
        <f t="shared" si="5"/>
        <v>64.574999999999989</v>
      </c>
    </row>
    <row r="12" spans="1:7" x14ac:dyDescent="0.25">
      <c r="A12" s="11" t="s">
        <v>20</v>
      </c>
      <c r="B12" s="10"/>
      <c r="C12" s="10"/>
      <c r="D12" s="12">
        <f>AVERAGE(D4:D8)</f>
        <v>3.9554999999999993</v>
      </c>
      <c r="E12" s="15">
        <f t="shared" ref="E12:G12" si="6">AVERAGE(E4:E8)</f>
        <v>280.60000000000002</v>
      </c>
      <c r="F12" s="12">
        <f t="shared" si="6"/>
        <v>1249.2225000000001</v>
      </c>
      <c r="G12" s="12">
        <f t="shared" si="6"/>
        <v>323.8725</v>
      </c>
    </row>
    <row r="14" spans="1:7" x14ac:dyDescent="0.25">
      <c r="A14" s="7" t="s">
        <v>21</v>
      </c>
      <c r="B14" s="8">
        <v>0.35</v>
      </c>
    </row>
    <row r="16" spans="1:7" x14ac:dyDescent="0.25">
      <c r="C16" t="s">
        <v>19</v>
      </c>
    </row>
    <row r="19" spans="4:6" x14ac:dyDescent="0.25">
      <c r="F19" t="s">
        <v>17</v>
      </c>
    </row>
    <row r="27" spans="4:6" x14ac:dyDescent="0.25">
      <c r="D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bcsl013@outlook.com</dc:creator>
  <cp:lastModifiedBy>bcsl013@outlook.com</cp:lastModifiedBy>
  <dcterms:created xsi:type="dcterms:W3CDTF">2026-08-12T07:40:27Z</dcterms:created>
  <dcterms:modified xsi:type="dcterms:W3CDTF">2026-08-13T05:57:30Z</dcterms:modified>
</cp:coreProperties>
</file>